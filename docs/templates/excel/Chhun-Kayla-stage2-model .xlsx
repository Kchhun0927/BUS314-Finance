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S" sheetId="1" r:id="rId5"/>
    <sheet state="visible" name="IS" sheetId="2" r:id="rId6"/>
    <sheet state="visible" name="CF" sheetId="3" r:id="rId7"/>
    <sheet state="visible" name="Ratios" sheetId="4" r:id="rId8"/>
  </sheets>
  <definedNames>
    <definedName name="currentYear_liabilities">#REF!</definedName>
    <definedName name="Revenue">Ratios!$B$21</definedName>
    <definedName name="depreciation">Ratios!$B$26</definedName>
    <definedName name="avg_equity">Ratios!$B$33</definedName>
    <definedName name="asset_turnover">Ratios!$B$48</definedName>
    <definedName name="avg_receivables">Ratios!$B$35</definedName>
    <definedName name="interest_expense">Ratios!$B$23</definedName>
    <definedName name="avg_inventory">Ratios!$B$34</definedName>
    <definedName name="sharesoutstanding">#REF!</definedName>
    <definedName name="currentYear_assets_total">Ratios!$B$11</definedName>
    <definedName name="EQ">#REF!</definedName>
    <definedName name="CurrentINV">#REF!</definedName>
    <definedName name="current_liabilities">Ratios!$B$15</definedName>
    <definedName name="TA">#REF!</definedName>
    <definedName name="CurrentEquity">#REF!</definedName>
    <definedName name="CurrentLiabilities">#REF!</definedName>
    <definedName name="currentYear_assets">Ratios!$B$14</definedName>
    <definedName name="avg_total_capital">Ratios!$B$38</definedName>
    <definedName name="Roa_">#REF!</definedName>
    <definedName name="Averageassets">#REF!</definedName>
    <definedName name="market_cap">#REF!</definedName>
    <definedName name="avgequity">#REF!</definedName>
    <definedName name="avgrec">#REF!</definedName>
    <definedName name="EB">#REF!</definedName>
    <definedName name="current_assets">BS!$C$9</definedName>
    <definedName name="startinv">#REF!</definedName>
    <definedName name="startYear_assets_total">Ratios!$B$5</definedName>
    <definedName name="net_income">Ratios!$B$25</definedName>
    <definedName name="StartEquity">#REF!</definedName>
    <definedName name="ProfitMargin">#REF!</definedName>
    <definedName name="markcap">#REF!</definedName>
    <definedName name="tax_rate">Ratios!$B$29</definedName>
    <definedName name="Netincome">#REF!</definedName>
    <definedName name="crnt">BS!$C$3</definedName>
    <definedName name="leverage_ratio">Ratios!$B$63</definedName>
    <definedName name="total_liabilities">Ratios!$B$17</definedName>
    <definedName name="INT_exp">#REF!</definedName>
    <definedName name="assets">#REF!</definedName>
    <definedName name="avg_recievables">#REF!</definedName>
    <definedName name="cash">Ratios!$B$18</definedName>
    <definedName name="total_capital_end">Ratios!$B$37</definedName>
    <definedName name="inventory_turnover">Ratios!$B$51</definedName>
    <definedName name="long_term_debt">Ratios!$B$16</definedName>
    <definedName name="ROA">Ratios!$B$42</definedName>
    <definedName name="CurrentAssets">#REF!</definedName>
    <definedName name="REV">#REF!</definedName>
    <definedName name="Interest">#REF!</definedName>
    <definedName name="startYear_equity">Ratios!$B$4</definedName>
    <definedName name="avginventory">#REF!</definedName>
    <definedName name="profit_margin">Ratios!$B$53</definedName>
    <definedName name="StartAssets">#REF!</definedName>
    <definedName name="startYear_receivables">Ratios!$B$7</definedName>
    <definedName name="shares_outstanding">#REF!</definedName>
    <definedName name="taxes">Ratios!$B$24</definedName>
    <definedName name="INC_Net">#REF!</definedName>
    <definedName name="EBIT">Ratios!$B$22</definedName>
    <definedName name="StartRecievables">#REF!</definedName>
    <definedName name="startYear_inventory">Ratios!$B$6</definedName>
    <definedName name="AssetTurnover">#REF!</definedName>
    <definedName name="currentYear_equity">Ratios!$B$10</definedName>
    <definedName name="shareprice">#REF!</definedName>
    <definedName name="equity">#REF!</definedName>
    <definedName name="currentYear_inventory">Ratios!$B$12</definedName>
    <definedName name="avg_total_assets">Ratios!$B$32</definedName>
    <definedName name="CurrentREC">#REF!</definedName>
    <definedName name="total_capital_start">Ratios!$B$36</definedName>
    <definedName name="share_price">#REF!</definedName>
    <definedName name="currentYear_receivables">Ratios!$B$13</definedName>
  </definedNames>
  <calcPr/>
</workbook>
</file>

<file path=xl/sharedStrings.xml><?xml version="1.0" encoding="utf-8"?>
<sst xmlns="http://schemas.openxmlformats.org/spreadsheetml/2006/main" count="105" uniqueCount="99">
  <si>
    <t>Apple Balance Sheet</t>
  </si>
  <si>
    <t>Assets</t>
  </si>
  <si>
    <t>Cash</t>
  </si>
  <si>
    <t>Accounts Receiveable</t>
  </si>
  <si>
    <t>Inventory</t>
  </si>
  <si>
    <t>Total Current Assets</t>
  </si>
  <si>
    <t>Net PPE</t>
  </si>
  <si>
    <t>Total Assets</t>
  </si>
  <si>
    <t>Liabilities &amp; Equity</t>
  </si>
  <si>
    <t>Accounts Payable</t>
  </si>
  <si>
    <t>Total Current Liabilities</t>
  </si>
  <si>
    <t>Long-Term Debt</t>
  </si>
  <si>
    <t>Total Liabilities</t>
  </si>
  <si>
    <t>Equity</t>
  </si>
  <si>
    <t>Total Liabilities + Equity</t>
  </si>
  <si>
    <t>Apple Income Statement</t>
  </si>
  <si>
    <t>Revenue</t>
  </si>
  <si>
    <t>COGS</t>
  </si>
  <si>
    <t>Gross Profit</t>
  </si>
  <si>
    <t>Operating Expenses</t>
  </si>
  <si>
    <t>EBIT</t>
  </si>
  <si>
    <t>Interest Expense</t>
  </si>
  <si>
    <t>Pre-Tax Income</t>
  </si>
  <si>
    <t>Taxes</t>
  </si>
  <si>
    <t>Net Income</t>
  </si>
  <si>
    <t>Depreciation</t>
  </si>
  <si>
    <t>Apple Cash Flow</t>
  </si>
  <si>
    <t>Operating Cash Flow</t>
  </si>
  <si>
    <t>Investing Cash Flow</t>
  </si>
  <si>
    <t>Financing Cash Flow</t>
  </si>
  <si>
    <t>Net Change in Cash</t>
  </si>
  <si>
    <t>Inputs</t>
  </si>
  <si>
    <t>Start-Year (2022)</t>
  </si>
  <si>
    <t>startYear_equity</t>
  </si>
  <si>
    <t>startYear_assets_total</t>
  </si>
  <si>
    <t>startYear_inventory</t>
  </si>
  <si>
    <t>startYear_receivables</t>
  </si>
  <si>
    <t>Current-Year (2023)</t>
  </si>
  <si>
    <t>currentYear_equity</t>
  </si>
  <si>
    <t>currentYear_assets_total</t>
  </si>
  <si>
    <t>currentYear_inventory</t>
  </si>
  <si>
    <t>currentYear_receivables</t>
  </si>
  <si>
    <t>currentYear_assets</t>
  </si>
  <si>
    <t>current_liabilities</t>
  </si>
  <si>
    <t>long_term_debt</t>
  </si>
  <si>
    <t>total_liabilities</t>
  </si>
  <si>
    <t>cash</t>
  </si>
  <si>
    <t>Income Statement</t>
  </si>
  <si>
    <t>interest_expense</t>
  </si>
  <si>
    <t>taxes</t>
  </si>
  <si>
    <t>net_income</t>
  </si>
  <si>
    <t>depreciation</t>
  </si>
  <si>
    <t>Assumptions</t>
  </si>
  <si>
    <t>tax_rate</t>
  </si>
  <si>
    <t>Averages</t>
  </si>
  <si>
    <t>avg_total_assets</t>
  </si>
  <si>
    <t>avg_equity</t>
  </si>
  <si>
    <t>avg_inventory</t>
  </si>
  <si>
    <t>avg_receivables</t>
  </si>
  <si>
    <t>total_capital_start</t>
  </si>
  <si>
    <t>total_capital_end</t>
  </si>
  <si>
    <t>avg_total_capital</t>
  </si>
  <si>
    <t>Profitability</t>
  </si>
  <si>
    <t>ROA (Start)</t>
  </si>
  <si>
    <t>ROA (Avg)</t>
  </si>
  <si>
    <t>ROE (Start)</t>
  </si>
  <si>
    <t>ROE (Avg)</t>
  </si>
  <si>
    <t>ROC</t>
  </si>
  <si>
    <t>Efficiency</t>
  </si>
  <si>
    <t>Asset Turnover</t>
  </si>
  <si>
    <t>Receivables Turnover</t>
  </si>
  <si>
    <t>Avg Collection Period</t>
  </si>
  <si>
    <t>Inventory Turnover</t>
  </si>
  <si>
    <t>Days in Inventory</t>
  </si>
  <si>
    <t>Profit Margin</t>
  </si>
  <si>
    <t>Operating Margin</t>
  </si>
  <si>
    <t>Leverage</t>
  </si>
  <si>
    <t>Long-Term Debt Ratio</t>
  </si>
  <si>
    <t>Total Debt Ratio</t>
  </si>
  <si>
    <t>Debt-to-Equity Ratio</t>
  </si>
  <si>
    <t>Times Interest Earned</t>
  </si>
  <si>
    <t>Cash Coverage Ratio</t>
  </si>
  <si>
    <t>Debt Burden Ratio</t>
  </si>
  <si>
    <t>Leverage Ratio</t>
  </si>
  <si>
    <t>Liquidity</t>
  </si>
  <si>
    <t>Current Ratio</t>
  </si>
  <si>
    <t>Quick Ratio</t>
  </si>
  <si>
    <t>Cash Ratio</t>
  </si>
  <si>
    <t>NWC to Assets</t>
  </si>
  <si>
    <t>Du Pont</t>
  </si>
  <si>
    <t>ROA Depreciation</t>
  </si>
  <si>
    <t>ROE Depreciation</t>
  </si>
  <si>
    <t>Final Outputs</t>
  </si>
  <si>
    <t>Ratio</t>
  </si>
  <si>
    <t>Value</t>
  </si>
  <si>
    <t>ROA</t>
  </si>
  <si>
    <t>ROE</t>
  </si>
  <si>
    <t xml:space="preserve">Debt-to-Equity </t>
  </si>
  <si>
    <t xml:space="preserve">Asset Turnover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</si>
</sst>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2" fontId="2" numFmtId="3" xfId="0" applyAlignment="1" applyBorder="1" applyFill="1" applyFont="1" applyNumberFormat="1">
      <alignment readingOrder="0"/>
    </xf>
    <xf borderId="1" fillId="3" fontId="2" numFmtId="3" xfId="0" applyBorder="1" applyFill="1" applyFont="1" applyNumberFormat="1"/>
    <xf borderId="1" fillId="2" fontId="2" numFmtId="3" xfId="0" applyBorder="1" applyFont="1" applyNumberFormat="1"/>
    <xf borderId="1" fillId="3" fontId="2" numFmtId="3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1" fillId="4" fontId="2" numFmtId="0" xfId="0" applyBorder="1" applyFill="1" applyFont="1"/>
    <xf borderId="1" fillId="3" fontId="2" numFmtId="0" xfId="0" applyBorder="1" applyFont="1"/>
    <xf borderId="1" fillId="0" fontId="1" numFmtId="0" xfId="0" applyAlignment="1" applyBorder="1" applyFont="1">
      <alignment readingOrder="0"/>
    </xf>
    <xf borderId="1" fillId="5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</cols>
  <sheetData>
    <row r="1">
      <c r="A1" s="1" t="s">
        <v>0</v>
      </c>
      <c r="B1" s="1">
        <v>2022.0</v>
      </c>
      <c r="C1" s="1">
        <v>2023.0</v>
      </c>
    </row>
    <row r="3">
      <c r="A3" s="1" t="s">
        <v>1</v>
      </c>
    </row>
    <row r="4">
      <c r="A4" s="2" t="s">
        <v>2</v>
      </c>
      <c r="B4" s="3">
        <v>23646.0</v>
      </c>
      <c r="C4" s="3">
        <v>29965.0</v>
      </c>
    </row>
    <row r="5">
      <c r="A5" s="2" t="s">
        <v>3</v>
      </c>
      <c r="B5" s="3">
        <v>28184.0</v>
      </c>
      <c r="C5" s="3">
        <v>29508.0</v>
      </c>
    </row>
    <row r="6">
      <c r="A6" s="2" t="s">
        <v>4</v>
      </c>
      <c r="B6" s="3">
        <v>4946.0</v>
      </c>
      <c r="C6" s="3">
        <v>6331.0</v>
      </c>
    </row>
    <row r="7">
      <c r="A7" s="2" t="s">
        <v>5</v>
      </c>
      <c r="B7" s="3">
        <v>135405.0</v>
      </c>
      <c r="C7" s="3">
        <v>143566.0</v>
      </c>
    </row>
    <row r="8">
      <c r="A8" s="2" t="s">
        <v>6</v>
      </c>
      <c r="B8" s="3">
        <v>42117.0</v>
      </c>
      <c r="C8" s="3">
        <v>43715.0</v>
      </c>
    </row>
    <row r="9">
      <c r="A9" s="2" t="s">
        <v>7</v>
      </c>
      <c r="B9" s="3">
        <v>352755.0</v>
      </c>
      <c r="C9" s="3">
        <v>352583.0</v>
      </c>
    </row>
    <row r="11">
      <c r="A11" s="1" t="s">
        <v>8</v>
      </c>
    </row>
    <row r="12">
      <c r="A12" s="2" t="s">
        <v>9</v>
      </c>
      <c r="B12" s="3">
        <v>64115.0</v>
      </c>
      <c r="C12" s="3">
        <v>62611.0</v>
      </c>
    </row>
    <row r="13">
      <c r="A13" s="2" t="s">
        <v>10</v>
      </c>
      <c r="B13" s="3">
        <v>153982.0</v>
      </c>
      <c r="C13" s="3">
        <v>145308.0</v>
      </c>
    </row>
    <row r="14">
      <c r="A14" s="2" t="s">
        <v>11</v>
      </c>
      <c r="B14" s="3">
        <v>98959.0</v>
      </c>
      <c r="C14" s="3">
        <v>95281.0</v>
      </c>
    </row>
    <row r="15">
      <c r="A15" s="2" t="s">
        <v>12</v>
      </c>
      <c r="B15" s="3">
        <v>302083.0</v>
      </c>
      <c r="C15" s="3">
        <v>290437.0</v>
      </c>
    </row>
    <row r="16">
      <c r="A16" s="2" t="s">
        <v>13</v>
      </c>
      <c r="B16" s="3">
        <v>50672.0</v>
      </c>
      <c r="C16" s="3">
        <v>62146.0</v>
      </c>
    </row>
    <row r="17">
      <c r="A17" s="2" t="s">
        <v>14</v>
      </c>
      <c r="B17" s="4">
        <f t="shared" ref="B17:C17" si="1">B15+B16</f>
        <v>352755</v>
      </c>
      <c r="C17" s="4">
        <f t="shared" si="1"/>
        <v>352583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1" t="s">
        <v>15</v>
      </c>
      <c r="B1" s="1">
        <v>2023.0</v>
      </c>
    </row>
    <row r="3">
      <c r="A3" s="2" t="s">
        <v>16</v>
      </c>
      <c r="B3" s="3">
        <v>383285.0</v>
      </c>
    </row>
    <row r="4">
      <c r="A4" s="2" t="s">
        <v>17</v>
      </c>
      <c r="B4" s="3">
        <v>214137.0</v>
      </c>
    </row>
    <row r="5">
      <c r="A5" s="2" t="s">
        <v>18</v>
      </c>
      <c r="B5" s="4">
        <f>B3-B4</f>
        <v>169148</v>
      </c>
    </row>
    <row r="6">
      <c r="A6" s="2" t="s">
        <v>19</v>
      </c>
      <c r="B6" s="3">
        <v>54847.0</v>
      </c>
    </row>
    <row r="7">
      <c r="A7" s="2" t="s">
        <v>20</v>
      </c>
      <c r="B7" s="5">
        <f>B5-B6</f>
        <v>114301</v>
      </c>
    </row>
    <row r="8">
      <c r="A8" s="2" t="s">
        <v>21</v>
      </c>
      <c r="B8" s="3">
        <v>3933.0</v>
      </c>
    </row>
    <row r="9">
      <c r="A9" s="2" t="s">
        <v>22</v>
      </c>
      <c r="B9" s="6">
        <f>B7-B8</f>
        <v>110368</v>
      </c>
    </row>
    <row r="10">
      <c r="A10" s="2" t="s">
        <v>23</v>
      </c>
      <c r="B10" s="3">
        <v>16741.0</v>
      </c>
    </row>
    <row r="11">
      <c r="A11" s="2" t="s">
        <v>24</v>
      </c>
      <c r="B11" s="5">
        <f>B9-B10</f>
        <v>93627</v>
      </c>
    </row>
    <row r="12">
      <c r="A12" s="2" t="s">
        <v>25</v>
      </c>
      <c r="B12" s="3">
        <v>11519.0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1" t="s">
        <v>26</v>
      </c>
    </row>
    <row r="3">
      <c r="A3" s="2" t="s">
        <v>27</v>
      </c>
      <c r="B3" s="3">
        <v>110543.0</v>
      </c>
    </row>
    <row r="4">
      <c r="A4" s="2" t="s">
        <v>28</v>
      </c>
      <c r="B4" s="7">
        <v>-3765.0</v>
      </c>
    </row>
    <row r="5">
      <c r="A5" s="2" t="s">
        <v>29</v>
      </c>
      <c r="B5" s="3">
        <v>108488.0</v>
      </c>
    </row>
    <row r="6">
      <c r="A6" s="2" t="s">
        <v>30</v>
      </c>
      <c r="B6" s="4">
        <f>B3+B4+B5</f>
        <v>215266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31</v>
      </c>
    </row>
    <row r="3">
      <c r="A3" s="1" t="s">
        <v>32</v>
      </c>
    </row>
    <row r="4">
      <c r="A4" s="2" t="s">
        <v>33</v>
      </c>
      <c r="B4" s="5">
        <f>BS!B16</f>
        <v>50672</v>
      </c>
    </row>
    <row r="5">
      <c r="A5" s="2" t="s">
        <v>34</v>
      </c>
      <c r="B5" s="5">
        <f>BS!B9</f>
        <v>352755</v>
      </c>
    </row>
    <row r="6">
      <c r="A6" s="2" t="s">
        <v>35</v>
      </c>
      <c r="B6" s="5">
        <f>BS!B6</f>
        <v>4946</v>
      </c>
    </row>
    <row r="7">
      <c r="A7" s="2" t="s">
        <v>36</v>
      </c>
      <c r="B7" s="5">
        <f>BS!B5</f>
        <v>28184</v>
      </c>
    </row>
    <row r="9">
      <c r="A9" s="1" t="s">
        <v>37</v>
      </c>
    </row>
    <row r="10">
      <c r="A10" s="2" t="s">
        <v>38</v>
      </c>
      <c r="B10" s="5">
        <f>BS!C16</f>
        <v>62146</v>
      </c>
    </row>
    <row r="11">
      <c r="A11" s="2" t="s">
        <v>39</v>
      </c>
      <c r="B11" s="5">
        <f>BS!C9</f>
        <v>352583</v>
      </c>
    </row>
    <row r="12">
      <c r="A12" s="2" t="s">
        <v>40</v>
      </c>
      <c r="B12" s="5">
        <f>BS!C6</f>
        <v>6331</v>
      </c>
    </row>
    <row r="13">
      <c r="A13" s="2" t="s">
        <v>41</v>
      </c>
      <c r="B13" s="5">
        <f>BS!C5</f>
        <v>29508</v>
      </c>
    </row>
    <row r="14">
      <c r="A14" s="2" t="s">
        <v>42</v>
      </c>
      <c r="B14" s="5">
        <f>BS!C7</f>
        <v>143566</v>
      </c>
    </row>
    <row r="15">
      <c r="A15" s="2" t="s">
        <v>43</v>
      </c>
      <c r="B15" s="5">
        <f>BS!C13</f>
        <v>145308</v>
      </c>
    </row>
    <row r="16">
      <c r="A16" s="2" t="s">
        <v>44</v>
      </c>
      <c r="B16" s="5">
        <f>BS!C14</f>
        <v>95281</v>
      </c>
    </row>
    <row r="17">
      <c r="A17" s="2" t="s">
        <v>45</v>
      </c>
      <c r="B17" s="3">
        <f>BS!C15</f>
        <v>290437</v>
      </c>
    </row>
    <row r="18">
      <c r="A18" s="2" t="s">
        <v>46</v>
      </c>
      <c r="B18" s="3">
        <f>BS!C4</f>
        <v>29965</v>
      </c>
    </row>
    <row r="20">
      <c r="A20" s="1" t="s">
        <v>47</v>
      </c>
    </row>
    <row r="21">
      <c r="A21" s="2" t="s">
        <v>16</v>
      </c>
      <c r="B21" s="5">
        <f>IS!B3</f>
        <v>383285</v>
      </c>
    </row>
    <row r="22">
      <c r="A22" s="2" t="s">
        <v>20</v>
      </c>
      <c r="B22" s="5">
        <f>IS!B7</f>
        <v>114301</v>
      </c>
    </row>
    <row r="23">
      <c r="A23" s="2" t="s">
        <v>48</v>
      </c>
      <c r="B23" s="5">
        <f>IS!B8</f>
        <v>3933</v>
      </c>
    </row>
    <row r="24">
      <c r="A24" s="2" t="s">
        <v>49</v>
      </c>
      <c r="B24" s="5">
        <f>IS!B10</f>
        <v>16741</v>
      </c>
    </row>
    <row r="25">
      <c r="A25" s="2" t="s">
        <v>50</v>
      </c>
      <c r="B25" s="5">
        <f>IS!B11</f>
        <v>93627</v>
      </c>
    </row>
    <row r="26">
      <c r="A26" s="2" t="s">
        <v>51</v>
      </c>
      <c r="B26" s="5">
        <f>IS!B12</f>
        <v>11519</v>
      </c>
    </row>
    <row r="28">
      <c r="A28" s="1" t="s">
        <v>52</v>
      </c>
    </row>
    <row r="29">
      <c r="A29" s="2" t="s">
        <v>53</v>
      </c>
      <c r="B29" s="8">
        <f>B24/IS!B9</f>
        <v>0.151683459</v>
      </c>
    </row>
    <row r="31">
      <c r="A31" s="1" t="s">
        <v>54</v>
      </c>
    </row>
    <row r="32">
      <c r="A32" s="2" t="s">
        <v>55</v>
      </c>
      <c r="B32" s="9">
        <f>(B5+B11)/2</f>
        <v>352669</v>
      </c>
    </row>
    <row r="33">
      <c r="A33" s="2" t="s">
        <v>56</v>
      </c>
      <c r="B33" s="9">
        <f>(B4+B10)/2</f>
        <v>56409</v>
      </c>
    </row>
    <row r="34">
      <c r="A34" s="2" t="s">
        <v>57</v>
      </c>
      <c r="B34" s="9">
        <f t="shared" ref="B34:B35" si="1">(B6+B12)/2</f>
        <v>5638.5</v>
      </c>
    </row>
    <row r="35">
      <c r="A35" s="2" t="s">
        <v>58</v>
      </c>
      <c r="B35" s="9">
        <f t="shared" si="1"/>
        <v>28846</v>
      </c>
    </row>
    <row r="36">
      <c r="A36" s="2" t="s">
        <v>59</v>
      </c>
      <c r="B36" s="4">
        <f>BS!B14+BS!B16</f>
        <v>149631</v>
      </c>
    </row>
    <row r="37">
      <c r="A37" s="2" t="s">
        <v>60</v>
      </c>
      <c r="B37" s="4">
        <f>BS!C14+BS!C16</f>
        <v>157427</v>
      </c>
    </row>
    <row r="38">
      <c r="A38" s="2" t="s">
        <v>61</v>
      </c>
      <c r="B38" s="9">
        <f>(B36+B37)/2</f>
        <v>153529</v>
      </c>
    </row>
    <row r="40">
      <c r="A40" s="1" t="s">
        <v>62</v>
      </c>
    </row>
    <row r="41">
      <c r="A41" s="2" t="s">
        <v>63</v>
      </c>
      <c r="B41" s="9">
        <f>net_income/startYear_assets_total</f>
        <v>0.2654165072</v>
      </c>
    </row>
    <row r="42">
      <c r="A42" s="2" t="s">
        <v>64</v>
      </c>
      <c r="B42" s="9">
        <f>net_income/avg_total_assets</f>
        <v>0.2654812303</v>
      </c>
    </row>
    <row r="43">
      <c r="A43" s="2" t="s">
        <v>65</v>
      </c>
      <c r="B43" s="9">
        <f>net_income/startYear_equity</f>
        <v>1.84770682</v>
      </c>
    </row>
    <row r="44">
      <c r="A44" s="2" t="s">
        <v>66</v>
      </c>
      <c r="B44" s="9">
        <f>net_income/avg_equity</f>
        <v>1.659788332</v>
      </c>
    </row>
    <row r="45">
      <c r="A45" s="2" t="s">
        <v>67</v>
      </c>
      <c r="B45" s="9">
        <f>(EBIT*(1-tax_rate))/avg_total_capital</f>
        <v>0.6315642579</v>
      </c>
    </row>
    <row r="47">
      <c r="A47" s="1" t="s">
        <v>68</v>
      </c>
    </row>
    <row r="48">
      <c r="A48" s="2" t="s">
        <v>69</v>
      </c>
      <c r="B48" s="9">
        <f>Revenue/avg_total_assets</f>
        <v>1.08681228</v>
      </c>
    </row>
    <row r="49">
      <c r="A49" s="2" t="s">
        <v>70</v>
      </c>
      <c r="B49" s="9">
        <f>Revenue/avg_receivables</f>
        <v>13.2872842</v>
      </c>
    </row>
    <row r="50">
      <c r="A50" s="2" t="s">
        <v>71</v>
      </c>
      <c r="B50" s="9">
        <f>365/B49</f>
        <v>27.46987229</v>
      </c>
    </row>
    <row r="51">
      <c r="A51" s="2" t="s">
        <v>72</v>
      </c>
      <c r="B51" s="9">
        <f>IS!B4/avg_inventory</f>
        <v>37.97765363</v>
      </c>
    </row>
    <row r="52">
      <c r="A52" s="2" t="s">
        <v>73</v>
      </c>
      <c r="B52" s="9">
        <f>365/inventory_turnover</f>
        <v>9.610914975</v>
      </c>
    </row>
    <row r="53">
      <c r="A53" s="2" t="s">
        <v>74</v>
      </c>
      <c r="B53" s="9">
        <f>365/B51</f>
        <v>9.610914975</v>
      </c>
    </row>
    <row r="54">
      <c r="A54" s="2" t="s">
        <v>75</v>
      </c>
      <c r="B54" s="9">
        <f>EBIT/Revenue</f>
        <v>0.2982141227</v>
      </c>
    </row>
    <row r="56">
      <c r="A56" s="1" t="s">
        <v>76</v>
      </c>
    </row>
    <row r="57">
      <c r="A57" s="2" t="s">
        <v>77</v>
      </c>
      <c r="B57" s="9">
        <f>long_term_debt/currentYear_assets_total</f>
        <v>0.2702370789</v>
      </c>
    </row>
    <row r="58">
      <c r="A58" s="2" t="s">
        <v>78</v>
      </c>
      <c r="B58" s="9">
        <f>total_liabilities/currentYear_assets_total</f>
        <v>0.8237407929</v>
      </c>
    </row>
    <row r="59">
      <c r="A59" s="2" t="s">
        <v>79</v>
      </c>
      <c r="B59" s="9">
        <f>long_term_debt/currentYear_equity</f>
        <v>1.533179931</v>
      </c>
    </row>
    <row r="60">
      <c r="A60" s="2" t="s">
        <v>80</v>
      </c>
      <c r="B60" s="9">
        <f>EBIT/interest_expense</f>
        <v>29.06203916</v>
      </c>
    </row>
    <row r="61">
      <c r="A61" s="2" t="s">
        <v>81</v>
      </c>
      <c r="B61" s="9">
        <f>(EBIT+depreciation)/interest_expense</f>
        <v>31.99084668</v>
      </c>
    </row>
    <row r="62">
      <c r="A62" s="2" t="s">
        <v>82</v>
      </c>
      <c r="B62" s="9">
        <f>net_income/EBIT</f>
        <v>0.8191266918</v>
      </c>
    </row>
    <row r="63">
      <c r="A63" s="2" t="s">
        <v>83</v>
      </c>
      <c r="B63" s="9">
        <f>currentYear_assets_total/currentYear_equity</f>
        <v>5.673462492</v>
      </c>
    </row>
    <row r="65">
      <c r="A65" s="1" t="s">
        <v>84</v>
      </c>
    </row>
    <row r="66">
      <c r="A66" s="2" t="s">
        <v>85</v>
      </c>
      <c r="B66" s="9">
        <f>current_assets/current_liabilities</f>
        <v>2.426452776</v>
      </c>
    </row>
    <row r="67">
      <c r="A67" s="2" t="s">
        <v>86</v>
      </c>
      <c r="B67" s="9">
        <f>(current_assets-currentYear_inventory)/current_liabilities</f>
        <v>2.382883255</v>
      </c>
    </row>
    <row r="68">
      <c r="A68" s="2" t="s">
        <v>87</v>
      </c>
      <c r="B68" s="9">
        <f>cash/current_liabilities</f>
        <v>0.2062171388</v>
      </c>
    </row>
    <row r="69">
      <c r="A69" s="2" t="s">
        <v>88</v>
      </c>
      <c r="B69" s="9">
        <f>(current_assets-current_liabilities)/currentYear_assets_total</f>
        <v>0.5878757626</v>
      </c>
    </row>
    <row r="71">
      <c r="A71" s="1" t="s">
        <v>89</v>
      </c>
    </row>
    <row r="72">
      <c r="A72" s="2" t="s">
        <v>90</v>
      </c>
      <c r="B72" s="9">
        <f>profit_margin*asset_turnover</f>
        <v>10.44526042</v>
      </c>
    </row>
    <row r="73">
      <c r="A73" s="2" t="s">
        <v>91</v>
      </c>
      <c r="B73" s="9">
        <f>ROA*leverage_ratio</f>
        <v>1.506197802</v>
      </c>
    </row>
    <row r="75">
      <c r="A75" s="1" t="s">
        <v>92</v>
      </c>
    </row>
    <row r="77">
      <c r="A77" s="10" t="s">
        <v>93</v>
      </c>
      <c r="B77" s="10" t="s">
        <v>94</v>
      </c>
    </row>
    <row r="78">
      <c r="A78" s="2" t="s">
        <v>95</v>
      </c>
      <c r="B78" s="11">
        <f>B42</f>
        <v>0.2654812303</v>
      </c>
    </row>
    <row r="79">
      <c r="A79" s="2" t="s">
        <v>96</v>
      </c>
      <c r="B79" s="11">
        <f t="shared" ref="B79:B80" si="2">B44</f>
        <v>1.659788332</v>
      </c>
    </row>
    <row r="80">
      <c r="A80" s="2" t="s">
        <v>67</v>
      </c>
      <c r="B80" s="11">
        <f t="shared" si="2"/>
        <v>0.6315642579</v>
      </c>
    </row>
    <row r="81">
      <c r="A81" s="2" t="s">
        <v>85</v>
      </c>
      <c r="B81" s="11">
        <f t="shared" ref="B81:B82" si="3">B66</f>
        <v>2.426452776</v>
      </c>
    </row>
    <row r="82">
      <c r="A82" s="2" t="s">
        <v>86</v>
      </c>
      <c r="B82" s="11">
        <f t="shared" si="3"/>
        <v>2.382883255</v>
      </c>
    </row>
    <row r="83">
      <c r="A83" s="2" t="s">
        <v>97</v>
      </c>
      <c r="B83" s="11">
        <f>B59</f>
        <v>1.533179931</v>
      </c>
    </row>
    <row r="84">
      <c r="A84" s="2" t="s">
        <v>98</v>
      </c>
      <c r="B84" s="11">
        <f>B48</f>
        <v>1.08681228</v>
      </c>
    </row>
    <row r="85">
      <c r="A85" s="2" t="s">
        <v>74</v>
      </c>
      <c r="B85" s="11">
        <f>B53</f>
        <v>9.610914975</v>
      </c>
    </row>
  </sheetData>
  <drawing r:id="rId1"/>
</worksheet>
</file>